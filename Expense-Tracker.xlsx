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OneDrive\Desktop\MY APPS\Data Analysis\codewithharry\"/>
    </mc:Choice>
  </mc:AlternateContent>
  <xr:revisionPtr revIDLastSave="0" documentId="8_{E5242142-9434-4241-B7A3-EC7039048C37}" xr6:coauthVersionLast="47" xr6:coauthVersionMax="47" xr10:uidLastSave="{00000000-0000-0000-0000-000000000000}"/>
  <bookViews>
    <workbookView xWindow="-108" yWindow="-108" windowWidth="23256" windowHeight="12456" xr2:uid="{05A37AFE-E166-4A88-B46B-26CDEBC8F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L7" i="1" s="1"/>
  <c r="E11" i="1"/>
  <c r="E2" i="1"/>
  <c r="L6" i="1"/>
  <c r="L5" i="1"/>
  <c r="L8" i="1" l="1"/>
  <c r="L9" i="1"/>
  <c r="L10" i="1"/>
  <c r="M8" i="1" l="1"/>
  <c r="M10" i="1"/>
  <c r="M7" i="1"/>
  <c r="M9" i="1"/>
</calcChain>
</file>

<file path=xl/sharedStrings.xml><?xml version="1.0" encoding="utf-8"?>
<sst xmlns="http://schemas.openxmlformats.org/spreadsheetml/2006/main" count="38" uniqueCount="29">
  <si>
    <t>S.No</t>
  </si>
  <si>
    <t>Description</t>
  </si>
  <si>
    <t>Type</t>
  </si>
  <si>
    <t>Amount</t>
  </si>
  <si>
    <t>Food</t>
  </si>
  <si>
    <t>Fun</t>
  </si>
  <si>
    <t>Office</t>
  </si>
  <si>
    <t>Investment</t>
  </si>
  <si>
    <t>Tea</t>
  </si>
  <si>
    <t>food</t>
  </si>
  <si>
    <t>Snacks</t>
  </si>
  <si>
    <t>Gulab Jamun</t>
  </si>
  <si>
    <t>Lunch</t>
  </si>
  <si>
    <t>Stationary</t>
  </si>
  <si>
    <t>office</t>
  </si>
  <si>
    <t>Zerodha</t>
  </si>
  <si>
    <t>investment</t>
  </si>
  <si>
    <t>Icici</t>
  </si>
  <si>
    <t>Dinner</t>
  </si>
  <si>
    <t>Birthday of a friend</t>
  </si>
  <si>
    <t>fun</t>
  </si>
  <si>
    <t>Total for the Day</t>
  </si>
  <si>
    <t>Average Transaction Value</t>
  </si>
  <si>
    <t>Office Expense</t>
  </si>
  <si>
    <t>Percentage</t>
  </si>
  <si>
    <t>Food Expense</t>
  </si>
  <si>
    <t>Fun Expense</t>
  </si>
  <si>
    <t>Investment Expense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</si>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</sst>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6D68-A1FA-488B-9B62-BF3DB1C3D33D}">
  <dimension ref="A1:M11"/>
  <sheetViews>
    <sheetView tabSelected="1" zoomScale="151" workbookViewId="0">
      <selection activeCell="I16" sqref="I16"/>
    </sheetView>
  </sheetViews>
  <sheetFormatPr defaultRowHeight="14.4" x14ac:dyDescent="0.3"/>
  <cols>
    <col min="1" max="1" width="4.88671875" bestFit="1" customWidth="1"/>
    <col min="2" max="2" width="16.33203125" bestFit="1" customWidth="1"/>
    <col min="3" max="3" width="10" bestFit="1" customWidth="1"/>
    <col min="4" max="4" width="7.33203125" bestFit="1" customWidth="1"/>
    <col min="5" max="5" width="5" bestFit="1" customWidth="1"/>
    <col min="6" max="6" width="4" bestFit="1" customWidth="1"/>
    <col min="7" max="7" width="5.88671875" bestFit="1" customWidth="1"/>
    <col min="8" max="8" width="10.109375" bestFit="1" customWidth="1"/>
    <col min="10" max="10" width="13" bestFit="1" customWidth="1"/>
    <col min="11" max="11" width="22.88671875" bestFit="1" customWidth="1"/>
    <col min="13" max="13" width="12.21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3" x14ac:dyDescent="0.3">
      <c r="A2" s="1">
        <v>1</v>
      </c>
      <c r="B2" s="1" t="s">
        <v>8</v>
      </c>
      <c r="C2" s="1" t="s">
        <v>9</v>
      </c>
      <c r="D2" s="1">
        <v>15</v>
      </c>
      <c r="E2" s="1">
        <f>COUNTIF(C2,"food")*D2</f>
        <v>15</v>
      </c>
      <c r="F2" s="1">
        <f>COUNTIF(C2,"fun")*D2</f>
        <v>0</v>
      </c>
      <c r="G2" s="1">
        <f>COUNTIF(C2,"office")*D2</f>
        <v>0</v>
      </c>
      <c r="H2" s="1">
        <f>COUNTIF(C2,"investment")*D2</f>
        <v>0</v>
      </c>
    </row>
    <row r="3" spans="1:13" x14ac:dyDescent="0.3">
      <c r="A3" s="1">
        <v>2</v>
      </c>
      <c r="B3" s="1" t="s">
        <v>10</v>
      </c>
      <c r="C3" s="1" t="s">
        <v>9</v>
      </c>
      <c r="D3" s="1">
        <v>8</v>
      </c>
      <c r="E3" s="1">
        <f t="shared" ref="E3:E11" si="0">COUNTIF(C3,"food")*D3</f>
        <v>8</v>
      </c>
      <c r="F3" s="1">
        <f t="shared" ref="F3:F11" si="1">COUNTIF(C3,"fun")*D3</f>
        <v>0</v>
      </c>
      <c r="G3" s="1">
        <f t="shared" ref="G3:G11" si="2">COUNTIF(C3,"office")*D3</f>
        <v>0</v>
      </c>
      <c r="H3" s="1">
        <f t="shared" ref="H3:H11" si="3">COUNTIF(C3,"investment")*D3</f>
        <v>0</v>
      </c>
    </row>
    <row r="4" spans="1:13" x14ac:dyDescent="0.3">
      <c r="A4" s="1">
        <v>3</v>
      </c>
      <c r="B4" s="1" t="s">
        <v>11</v>
      </c>
      <c r="C4" s="1" t="s">
        <v>9</v>
      </c>
      <c r="D4" s="1">
        <v>20</v>
      </c>
      <c r="E4" s="1">
        <f t="shared" si="0"/>
        <v>20</v>
      </c>
      <c r="F4" s="1">
        <f t="shared" si="1"/>
        <v>0</v>
      </c>
      <c r="G4" s="1">
        <f t="shared" si="2"/>
        <v>0</v>
      </c>
      <c r="H4" s="1">
        <f t="shared" si="3"/>
        <v>0</v>
      </c>
      <c r="K4" s="7"/>
      <c r="L4" s="7" t="s">
        <v>3</v>
      </c>
      <c r="M4" s="7" t="s">
        <v>24</v>
      </c>
    </row>
    <row r="5" spans="1:13" x14ac:dyDescent="0.3">
      <c r="A5" s="1">
        <v>4</v>
      </c>
      <c r="B5" s="1" t="s">
        <v>12</v>
      </c>
      <c r="C5" s="1" t="s">
        <v>9</v>
      </c>
      <c r="D5" s="1">
        <v>80</v>
      </c>
      <c r="E5" s="1">
        <f t="shared" si="0"/>
        <v>80</v>
      </c>
      <c r="F5" s="1">
        <f t="shared" si="1"/>
        <v>0</v>
      </c>
      <c r="G5" s="1">
        <f t="shared" si="2"/>
        <v>0</v>
      </c>
      <c r="H5" s="1">
        <f t="shared" si="3"/>
        <v>0</v>
      </c>
      <c r="K5" s="5" t="s">
        <v>21</v>
      </c>
      <c r="L5" s="4">
        <f>SUM(D2:D11)</f>
        <v>3563</v>
      </c>
      <c r="M5" s="4" t="s">
        <v>28</v>
      </c>
    </row>
    <row r="6" spans="1:13" x14ac:dyDescent="0.3">
      <c r="A6" s="1">
        <v>5</v>
      </c>
      <c r="B6" s="1" t="s">
        <v>8</v>
      </c>
      <c r="C6" s="1" t="s">
        <v>9</v>
      </c>
      <c r="D6" s="1">
        <v>10</v>
      </c>
      <c r="E6" s="1">
        <f t="shared" si="0"/>
        <v>10</v>
      </c>
      <c r="F6" s="1">
        <f t="shared" si="1"/>
        <v>0</v>
      </c>
      <c r="G6" s="1">
        <f t="shared" si="2"/>
        <v>0</v>
      </c>
      <c r="H6" s="1">
        <f t="shared" si="3"/>
        <v>0</v>
      </c>
      <c r="K6" s="6" t="s">
        <v>22</v>
      </c>
      <c r="L6" s="4">
        <f>AVERAGE(D2:D11)</f>
        <v>356.3</v>
      </c>
      <c r="M6" s="4" t="s">
        <v>28</v>
      </c>
    </row>
    <row r="7" spans="1:13" x14ac:dyDescent="0.3">
      <c r="A7" s="1">
        <v>6</v>
      </c>
      <c r="B7" s="1" t="s">
        <v>13</v>
      </c>
      <c r="C7" s="1" t="s">
        <v>14</v>
      </c>
      <c r="D7" s="1">
        <v>40</v>
      </c>
      <c r="E7" s="1">
        <f t="shared" si="0"/>
        <v>0</v>
      </c>
      <c r="F7" s="1">
        <f t="shared" si="1"/>
        <v>0</v>
      </c>
      <c r="G7" s="1">
        <f t="shared" si="2"/>
        <v>40</v>
      </c>
      <c r="H7" s="1">
        <f t="shared" si="3"/>
        <v>0</v>
      </c>
      <c r="K7" s="5" t="s">
        <v>25</v>
      </c>
      <c r="L7" s="4">
        <f>SUM(E2:E11)</f>
        <v>223</v>
      </c>
      <c r="M7" s="3">
        <f>100*L7/SUM($L$7:$L$10)</f>
        <v>6.2587706988492844</v>
      </c>
    </row>
    <row r="8" spans="1:13" x14ac:dyDescent="0.3">
      <c r="A8" s="1">
        <v>7</v>
      </c>
      <c r="B8" s="1" t="s">
        <v>15</v>
      </c>
      <c r="C8" s="1" t="s">
        <v>16</v>
      </c>
      <c r="D8" s="1">
        <v>1000</v>
      </c>
      <c r="E8" s="1">
        <f t="shared" si="0"/>
        <v>0</v>
      </c>
      <c r="F8" s="1">
        <f t="shared" si="1"/>
        <v>0</v>
      </c>
      <c r="G8" s="1">
        <f t="shared" si="2"/>
        <v>0</v>
      </c>
      <c r="H8" s="1">
        <f t="shared" si="3"/>
        <v>1000</v>
      </c>
      <c r="K8" s="5" t="s">
        <v>26</v>
      </c>
      <c r="L8" s="4">
        <f>SUM(F2:F11)</f>
        <v>300</v>
      </c>
      <c r="M8" s="3">
        <f>100*L8/SUM($L$7:$L$10)</f>
        <v>8.419870895312938</v>
      </c>
    </row>
    <row r="9" spans="1:13" x14ac:dyDescent="0.3">
      <c r="A9" s="1">
        <v>8</v>
      </c>
      <c r="B9" s="1" t="s">
        <v>17</v>
      </c>
      <c r="C9" s="1" t="s">
        <v>16</v>
      </c>
      <c r="D9" s="1">
        <v>2000</v>
      </c>
      <c r="E9" s="1">
        <f t="shared" si="0"/>
        <v>0</v>
      </c>
      <c r="F9" s="1">
        <f t="shared" si="1"/>
        <v>0</v>
      </c>
      <c r="G9" s="1">
        <f t="shared" si="2"/>
        <v>0</v>
      </c>
      <c r="H9" s="1">
        <f t="shared" si="3"/>
        <v>2000</v>
      </c>
      <c r="K9" s="5" t="s">
        <v>23</v>
      </c>
      <c r="L9" s="4">
        <f>SUM(G2:G11)</f>
        <v>40</v>
      </c>
      <c r="M9" s="3">
        <f>100*L9/SUM($L$7:$L$10)</f>
        <v>1.1226494527083919</v>
      </c>
    </row>
    <row r="10" spans="1:13" x14ac:dyDescent="0.3">
      <c r="A10" s="1">
        <v>9</v>
      </c>
      <c r="B10" s="1" t="s">
        <v>18</v>
      </c>
      <c r="C10" s="1" t="s">
        <v>9</v>
      </c>
      <c r="D10" s="1">
        <v>90</v>
      </c>
      <c r="E10" s="1">
        <f t="shared" si="0"/>
        <v>90</v>
      </c>
      <c r="F10" s="1">
        <f t="shared" si="1"/>
        <v>0</v>
      </c>
      <c r="G10" s="1">
        <f t="shared" si="2"/>
        <v>0</v>
      </c>
      <c r="H10" s="1">
        <f t="shared" si="3"/>
        <v>0</v>
      </c>
      <c r="K10" s="5" t="s">
        <v>27</v>
      </c>
      <c r="L10" s="4">
        <f>SUM(H2:H11)</f>
        <v>3000</v>
      </c>
      <c r="M10" s="3">
        <f>100*L10/SUM($L$7:$L$10)</f>
        <v>84.198708953129383</v>
      </c>
    </row>
    <row r="11" spans="1:13" x14ac:dyDescent="0.3">
      <c r="A11" s="1">
        <v>10</v>
      </c>
      <c r="B11" s="1" t="s">
        <v>19</v>
      </c>
      <c r="C11" s="1" t="s">
        <v>20</v>
      </c>
      <c r="D11" s="1">
        <v>300</v>
      </c>
      <c r="E11" s="1">
        <f t="shared" si="0"/>
        <v>0</v>
      </c>
      <c r="F11" s="1">
        <f t="shared" si="1"/>
        <v>300</v>
      </c>
      <c r="G11" s="1">
        <f t="shared" si="2"/>
        <v>0</v>
      </c>
      <c r="H11" s="1">
        <f t="shared" si="3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GUFRAN N SHAIKH</dc:creator>
  <cp:lastModifiedBy>GUFRAN N SHAIKH</cp:lastModifiedBy>
  <dcterms:created xsi:type="dcterms:W3CDTF">2026-06-12T06:10:25Z</dcterms:created>
  <dcterms:modified xsi:type="dcterms:W3CDTF">2026-06-12T06:52:05Z</dcterms:modified>
</cp:coreProperties>
</file>